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shonelgeri/Documents/GitHub/Cybersecurity-GRC-Portfolio/Project-A-Apex-Footwear/"/>
    </mc:Choice>
  </mc:AlternateContent>
  <bookViews>
    <workbookView xWindow="14140" yWindow="460" windowWidth="18600" windowHeight="16240" tabRatio="500" activeTab="2"/>
  </bookViews>
  <sheets>
    <sheet name="Inventario Asset" sheetId="1" r:id="rId1"/>
    <sheet name="Valutazione Rischio" sheetId="2" r:id="rId2"/>
    <sheet name="Piano di Trattamento (RTP)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2" l="1"/>
  <c r="F4" i="2"/>
  <c r="F5" i="2"/>
  <c r="F2" i="2"/>
  <c r="H3" i="1"/>
  <c r="H4" i="1"/>
  <c r="H5" i="1"/>
  <c r="H2" i="1"/>
</calcChain>
</file>

<file path=xl/sharedStrings.xml><?xml version="1.0" encoding="utf-8"?>
<sst xmlns="http://schemas.openxmlformats.org/spreadsheetml/2006/main" count="68" uniqueCount="56">
  <si>
    <t>ID Asset</t>
  </si>
  <si>
    <t>Nome Asset</t>
  </si>
  <si>
    <t>Proprietario (Owner)</t>
  </si>
  <si>
    <t>Descrizione</t>
  </si>
  <si>
    <t>C</t>
  </si>
  <si>
    <t>I</t>
  </si>
  <si>
    <t>A</t>
  </si>
  <si>
    <t>Valore Criticità</t>
  </si>
  <si>
    <t>A01</t>
  </si>
  <si>
    <t>DB Clienti</t>
  </si>
  <si>
    <t>Marketing</t>
  </si>
  <si>
    <t>Dati sensibili Shopify</t>
  </si>
  <si>
    <t>A02</t>
  </si>
  <si>
    <t>Sito E-commerce</t>
  </si>
  <si>
    <t>CEO</t>
  </si>
  <si>
    <t>Piattaforma vendita</t>
  </si>
  <si>
    <t>A03</t>
  </si>
  <si>
    <t>Server NAS</t>
  </si>
  <si>
    <t>Admin</t>
  </si>
  <si>
    <t>File contabilità e design</t>
  </si>
  <si>
    <t>A04</t>
  </si>
  <si>
    <t>Laptop Dipendenti</t>
  </si>
  <si>
    <t>IT</t>
  </si>
  <si>
    <t>Dispositivi smart working</t>
  </si>
  <si>
    <t>ID Rischio</t>
  </si>
  <si>
    <t>Scenario</t>
  </si>
  <si>
    <t>Asset Rif.</t>
  </si>
  <si>
    <t>Probabilità (P)</t>
  </si>
  <si>
    <t>Impatto (I)</t>
  </si>
  <si>
    <t>Livello Rischio (R)</t>
  </si>
  <si>
    <t>Stato</t>
  </si>
  <si>
    <t>R01</t>
  </si>
  <si>
    <t>Ransomware su NAS</t>
  </si>
  <si>
    <t>Critico</t>
  </si>
  <si>
    <t>R02</t>
  </si>
  <si>
    <t>Data Breach Shopify</t>
  </si>
  <si>
    <t>Alto</t>
  </si>
  <si>
    <t>R03</t>
  </si>
  <si>
    <t>Phishing su CEO</t>
  </si>
  <si>
    <t>R04</t>
  </si>
  <si>
    <t>Furto Laptop</t>
  </si>
  <si>
    <t>Medio</t>
  </si>
  <si>
    <t>Azione di Mitigazione</t>
  </si>
  <si>
    <t>Costo Stimato</t>
  </si>
  <si>
    <t>Priorità</t>
  </si>
  <si>
    <t>Rischio Residuo (P x I)</t>
  </si>
  <si>
    <t>Backup Immutabile + Patching</t>
  </si>
  <si>
    <t>Massima</t>
  </si>
  <si>
    <t>4 (P:1, I:4)</t>
  </si>
  <si>
    <t>MFA + Training Awareness</t>
  </si>
  <si>
    <t>Alta</t>
  </si>
  <si>
    <t>5 (P:1, I:5)</t>
  </si>
  <si>
    <t>MFA + Email Filtering</t>
  </si>
  <si>
    <t>Crittografia Disco (BitLocker)</t>
  </si>
  <si>
    <t>Media</t>
  </si>
  <si>
    <t>3 (P:1, I:3)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</si>
</sst>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Arial"/>
    </font>
    <font>
      <b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</cellXfs>
  <cellStyles count="2">
    <cellStyle name="Normale" xfId="0" builtinId="0"/>
    <cellStyle name="Valuta" xfId="1" builtinId="4"/>
  </cellStyles>
  <dxfs count="7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02" workbookViewId="0">
      <selection activeCell="H2" sqref="H2"/>
    </sheetView>
  </sheetViews>
  <sheetFormatPr baseColWidth="10" defaultRowHeight="16" x14ac:dyDescent="0.2"/>
  <cols>
    <col min="1" max="1" width="12.83203125" customWidth="1"/>
    <col min="2" max="2" width="22.5" customWidth="1"/>
    <col min="3" max="3" width="25.83203125" customWidth="1"/>
    <col min="4" max="4" width="27.5" customWidth="1"/>
    <col min="8" max="8" width="19.1640625" customWidth="1"/>
  </cols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5</v>
      </c>
      <c r="F2" s="2">
        <v>5</v>
      </c>
      <c r="G2" s="2">
        <v>4</v>
      </c>
      <c r="H2" s="2">
        <f>MAX(E2:G2)</f>
        <v>5</v>
      </c>
    </row>
    <row r="3" spans="1:8" ht="18" x14ac:dyDescent="0.2">
      <c r="A3" s="2" t="s">
        <v>12</v>
      </c>
      <c r="B3" s="2" t="s">
        <v>13</v>
      </c>
      <c r="C3" s="2" t="s">
        <v>14</v>
      </c>
      <c r="D3" s="2" t="s">
        <v>15</v>
      </c>
      <c r="E3" s="2">
        <v>2</v>
      </c>
      <c r="F3" s="2">
        <v>4</v>
      </c>
      <c r="G3" s="2">
        <v>5</v>
      </c>
      <c r="H3" s="2">
        <f t="shared" ref="H3:H5" si="0">MAX(E3:G3)</f>
        <v>5</v>
      </c>
    </row>
    <row r="4" spans="1:8" ht="18" x14ac:dyDescent="0.2">
      <c r="A4" s="2" t="s">
        <v>16</v>
      </c>
      <c r="B4" s="2" t="s">
        <v>17</v>
      </c>
      <c r="C4" s="2" t="s">
        <v>18</v>
      </c>
      <c r="D4" s="2" t="s">
        <v>19</v>
      </c>
      <c r="E4" s="2">
        <v>4</v>
      </c>
      <c r="F4" s="2">
        <v>5</v>
      </c>
      <c r="G4" s="2">
        <v>4</v>
      </c>
      <c r="H4" s="2">
        <f t="shared" si="0"/>
        <v>5</v>
      </c>
    </row>
    <row r="5" spans="1:8" ht="18" x14ac:dyDescent="0.2">
      <c r="A5" s="2" t="s">
        <v>20</v>
      </c>
      <c r="B5" s="2" t="s">
        <v>21</v>
      </c>
      <c r="C5" s="2" t="s">
        <v>22</v>
      </c>
      <c r="D5" s="2" t="s">
        <v>23</v>
      </c>
      <c r="E5" s="2">
        <v>3</v>
      </c>
      <c r="F5" s="2">
        <v>3</v>
      </c>
      <c r="G5" s="2">
        <v>3</v>
      </c>
      <c r="H5" s="2">
        <f t="shared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21" sqref="E21"/>
    </sheetView>
  </sheetViews>
  <sheetFormatPr baseColWidth="10" defaultRowHeight="16" x14ac:dyDescent="0.2"/>
  <cols>
    <col min="1" max="1" width="13.5" customWidth="1"/>
    <col min="2" max="2" width="25.5" customWidth="1"/>
    <col min="3" max="3" width="12.6640625" customWidth="1"/>
    <col min="4" max="4" width="17" customWidth="1"/>
    <col min="5" max="5" width="13.33203125" customWidth="1"/>
    <col min="6" max="6" width="22.6640625" customWidth="1"/>
    <col min="7" max="7" width="11.33203125" customWidth="1"/>
  </cols>
  <sheetData>
    <row r="1" spans="1:7" ht="18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ht="18" x14ac:dyDescent="0.2">
      <c r="A2" s="1" t="s">
        <v>31</v>
      </c>
      <c r="B2" s="2" t="s">
        <v>32</v>
      </c>
      <c r="C2" s="2" t="s">
        <v>16</v>
      </c>
      <c r="D2" s="2">
        <v>4</v>
      </c>
      <c r="E2" s="2">
        <v>5</v>
      </c>
      <c r="F2" s="2">
        <f>D2*E2</f>
        <v>20</v>
      </c>
      <c r="G2" s="2" t="s">
        <v>33</v>
      </c>
    </row>
    <row r="3" spans="1:7" ht="18" x14ac:dyDescent="0.2">
      <c r="A3" s="1" t="s">
        <v>34</v>
      </c>
      <c r="B3" s="2" t="s">
        <v>35</v>
      </c>
      <c r="C3" s="2" t="s">
        <v>8</v>
      </c>
      <c r="D3" s="2">
        <v>3</v>
      </c>
      <c r="E3" s="2">
        <v>5</v>
      </c>
      <c r="F3" s="2">
        <f t="shared" ref="F3:F5" si="0">D3*E3</f>
        <v>15</v>
      </c>
      <c r="G3" s="2" t="s">
        <v>36</v>
      </c>
    </row>
    <row r="4" spans="1:7" ht="18" x14ac:dyDescent="0.2">
      <c r="A4" s="1" t="s">
        <v>37</v>
      </c>
      <c r="B4" s="2" t="s">
        <v>38</v>
      </c>
      <c r="C4" s="2" t="s">
        <v>20</v>
      </c>
      <c r="D4" s="2">
        <v>4</v>
      </c>
      <c r="E4" s="2">
        <v>4</v>
      </c>
      <c r="F4" s="2">
        <f t="shared" si="0"/>
        <v>16</v>
      </c>
      <c r="G4" s="2" t="s">
        <v>36</v>
      </c>
    </row>
    <row r="5" spans="1:7" ht="18" x14ac:dyDescent="0.2">
      <c r="A5" s="1" t="s">
        <v>39</v>
      </c>
      <c r="B5" s="2" t="s">
        <v>40</v>
      </c>
      <c r="C5" s="2" t="s">
        <v>20</v>
      </c>
      <c r="D5" s="2">
        <v>3</v>
      </c>
      <c r="E5" s="2">
        <v>3</v>
      </c>
      <c r="F5" s="2">
        <f t="shared" si="0"/>
        <v>9</v>
      </c>
      <c r="G5" s="2" t="s">
        <v>41</v>
      </c>
    </row>
  </sheetData>
  <conditionalFormatting sqref="F2:F5">
    <cfRule type="cellIs" dxfId="3" priority="3" operator="between">
      <formula>1</formula>
      <formula>8</formula>
    </cfRule>
    <cfRule type="cellIs" dxfId="4" priority="2" operator="between">
      <formula>9</formula>
      <formula>14</formula>
    </cfRule>
    <cfRule type="cellIs" dxfId="2" priority="1" operator="between">
      <formula>15</formula>
      <formula>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9" sqref="C9"/>
    </sheetView>
  </sheetViews>
  <sheetFormatPr baseColWidth="10" defaultRowHeight="16" x14ac:dyDescent="0.2"/>
  <cols>
    <col min="1" max="1" width="14.33203125" customWidth="1"/>
    <col min="2" max="2" width="35.6640625" customWidth="1"/>
    <col min="3" max="3" width="17.33203125" customWidth="1"/>
    <col min="4" max="4" width="12.33203125" customWidth="1"/>
    <col min="5" max="5" width="26.5" customWidth="1"/>
  </cols>
  <sheetData>
    <row r="1" spans="1:5" ht="18" x14ac:dyDescent="0.2">
      <c r="A1" s="1" t="s">
        <v>24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ht="18" x14ac:dyDescent="0.2">
      <c r="A2" s="1" t="s">
        <v>31</v>
      </c>
      <c r="B2" s="2" t="s">
        <v>46</v>
      </c>
      <c r="C2" s="3">
        <v>1200</v>
      </c>
      <c r="D2" s="2" t="s">
        <v>47</v>
      </c>
      <c r="E2" s="2" t="s">
        <v>48</v>
      </c>
    </row>
    <row r="3" spans="1:5" ht="18" x14ac:dyDescent="0.2">
      <c r="A3" s="1" t="s">
        <v>34</v>
      </c>
      <c r="B3" s="2" t="s">
        <v>49</v>
      </c>
      <c r="C3" s="3">
        <v>500</v>
      </c>
      <c r="D3" s="2" t="s">
        <v>50</v>
      </c>
      <c r="E3" s="2" t="s">
        <v>51</v>
      </c>
    </row>
    <row r="4" spans="1:5" ht="18" x14ac:dyDescent="0.2">
      <c r="A4" s="1" t="s">
        <v>37</v>
      </c>
      <c r="B4" s="2" t="s">
        <v>52</v>
      </c>
      <c r="C4" s="3">
        <v>300</v>
      </c>
      <c r="D4" s="2" t="s">
        <v>50</v>
      </c>
      <c r="E4" s="2" t="s">
        <v>48</v>
      </c>
    </row>
    <row r="5" spans="1:5" ht="18" x14ac:dyDescent="0.2">
      <c r="A5" s="1" t="s">
        <v>39</v>
      </c>
      <c r="B5" s="2" t="s">
        <v>53</v>
      </c>
      <c r="C5" s="3">
        <v>0</v>
      </c>
      <c r="D5" s="2" t="s">
        <v>54</v>
      </c>
      <c r="E5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Inventario Asset</vt:lpstr>
      <vt:lpstr>Valutazione Rischio</vt:lpstr>
      <vt:lpstr>Piano di Trattamento (RTP)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Utente di Microsoft Office</cp:lastModifiedBy>
  <dcterms:created xsi:type="dcterms:W3CDTF">2026-02-11T19:38:04Z</dcterms:created>
  <dcterms:modified xsi:type="dcterms:W3CDTF">2026-02-11T21:07:01Z</dcterms:modified>
</cp:coreProperties>
</file>